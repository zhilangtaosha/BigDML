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neDrive - std.uestc.edu.cn\Code\Git\BigDML\datascience\excel\docs\"/>
    </mc:Choice>
  </mc:AlternateContent>
  <bookViews>
    <workbookView xWindow="240" yWindow="120" windowWidth="17235" windowHeight="9825" firstSheet="2" activeTab="3"/>
  </bookViews>
  <sheets>
    <sheet name="绘图" sheetId="1" r:id="rId1"/>
    <sheet name="Sheet2" sheetId="2" r:id="rId2"/>
    <sheet name="数据透视表" sheetId="3" r:id="rId3"/>
    <sheet name="交叉表" sheetId="11" r:id="rId4"/>
    <sheet name="分列" sheetId="4" r:id="rId5"/>
    <sheet name="分组" sheetId="5" r:id="rId6"/>
    <sheet name="分类汇总" sheetId="6" r:id="rId7"/>
    <sheet name="查找" sheetId="7" r:id="rId8"/>
    <sheet name="if" sheetId="8" r:id="rId9"/>
    <sheet name="累积和、均值" sheetId="9" r:id="rId10"/>
    <sheet name="分组汇总" sheetId="10" r:id="rId11"/>
  </sheets>
  <calcPr calcId="162913"/>
  <pivotCaches>
    <pivotCache cacheId="0" r:id="rId12"/>
  </pivotCaches>
</workbook>
</file>

<file path=xl/calcChain.xml><?xml version="1.0" encoding="utf-8"?>
<calcChain xmlns="http://schemas.openxmlformats.org/spreadsheetml/2006/main">
  <c r="C2" i="9" l="1"/>
  <c r="D2" i="9" s="1"/>
  <c r="C3" i="9" l="1"/>
  <c r="F25" i="10"/>
  <c r="F29" i="10"/>
  <c r="F24" i="10" s="1"/>
  <c r="F32" i="10"/>
  <c r="D3" i="9" l="1"/>
  <c r="C4" i="9"/>
  <c r="C3" i="8"/>
  <c r="C4" i="8"/>
  <c r="C5" i="8"/>
  <c r="C6" i="8"/>
  <c r="C7" i="8"/>
  <c r="C2" i="8"/>
  <c r="B13" i="7"/>
  <c r="B12" i="7"/>
  <c r="C5" i="9" l="1"/>
  <c r="D4" i="9"/>
  <c r="C6" i="9" l="1"/>
  <c r="D5" i="9"/>
  <c r="C7" i="9" l="1"/>
  <c r="D6" i="9"/>
  <c r="C8" i="9" l="1"/>
  <c r="D7" i="9"/>
  <c r="C9" i="9" l="1"/>
  <c r="D8" i="9"/>
  <c r="C10" i="9" l="1"/>
  <c r="D9" i="9"/>
  <c r="C11" i="9" l="1"/>
  <c r="D10" i="9"/>
  <c r="C12" i="9" l="1"/>
  <c r="D12" i="9" s="1"/>
  <c r="D11" i="9"/>
</calcChain>
</file>

<file path=xl/comments1.xml><?xml version="1.0" encoding="utf-8"?>
<comments xmlns="http://schemas.openxmlformats.org/spreadsheetml/2006/main">
  <authors>
    <author>xl</author>
  </authors>
  <commentList>
    <comment ref="A1" authorId="0" shapeId="0">
      <text>
        <r>
          <rPr>
            <b/>
            <sz val="9"/>
            <color indexed="81"/>
            <rFont val="宋体"/>
            <charset val="134"/>
          </rPr>
          <t>xl:</t>
        </r>
        <r>
          <rPr>
            <sz val="9"/>
            <color indexed="81"/>
            <rFont val="宋体"/>
            <charset val="134"/>
          </rPr>
          <t xml:space="preserve">
辅助列</t>
        </r>
      </text>
    </comment>
    <comment ref="C1" authorId="0" shapeId="0">
      <text>
        <r>
          <rPr>
            <b/>
            <sz val="9"/>
            <color indexed="81"/>
            <rFont val="宋体"/>
            <charset val="134"/>
          </rPr>
          <t>xl:</t>
        </r>
        <r>
          <rPr>
            <sz val="9"/>
            <color indexed="81"/>
            <rFont val="宋体"/>
            <charset val="134"/>
          </rPr>
          <t xml:space="preserve">
累积和</t>
        </r>
      </text>
    </comment>
    <comment ref="D1" authorId="0" shapeId="0">
      <text>
        <r>
          <rPr>
            <b/>
            <sz val="9"/>
            <color indexed="81"/>
            <rFont val="宋体"/>
            <charset val="134"/>
          </rPr>
          <t>xl:</t>
        </r>
        <r>
          <rPr>
            <sz val="9"/>
            <color indexed="81"/>
            <rFont val="宋体"/>
            <charset val="134"/>
          </rPr>
          <t xml:space="preserve">
累积均值
</t>
        </r>
      </text>
    </comment>
  </commentList>
</comments>
</file>

<file path=xl/sharedStrings.xml><?xml version="1.0" encoding="utf-8"?>
<sst xmlns="http://schemas.openxmlformats.org/spreadsheetml/2006/main" count="141" uniqueCount="111">
  <si>
    <t>P1</t>
    <phoneticPr fontId="1" type="noConversion"/>
  </si>
  <si>
    <t>P2</t>
    <phoneticPr fontId="1" type="noConversion"/>
  </si>
  <si>
    <t>P3</t>
    <phoneticPr fontId="1" type="noConversion"/>
  </si>
  <si>
    <t>P4</t>
    <phoneticPr fontId="1" type="noConversion"/>
  </si>
  <si>
    <t>P5</t>
    <phoneticPr fontId="1" type="noConversion"/>
  </si>
  <si>
    <t>日期</t>
    <phoneticPr fontId="1" type="noConversion"/>
  </si>
  <si>
    <t>来源</t>
    <phoneticPr fontId="1" type="noConversion"/>
  </si>
  <si>
    <t>姓名</t>
    <phoneticPr fontId="1" type="noConversion"/>
  </si>
  <si>
    <t>性别</t>
    <phoneticPr fontId="1" type="noConversion"/>
  </si>
  <si>
    <t>求和项:日期</t>
  </si>
  <si>
    <t>求和项:来源</t>
  </si>
  <si>
    <t>求和项:姓名</t>
  </si>
  <si>
    <t>求和项:性别</t>
  </si>
  <si>
    <t>122,32,32,43,34</t>
    <phoneticPr fontId="1" type="noConversion"/>
  </si>
  <si>
    <t>zhang,wang,li,si,er</t>
    <phoneticPr fontId="1" type="noConversion"/>
  </si>
  <si>
    <t>zhang</t>
  </si>
  <si>
    <t>wang</t>
  </si>
  <si>
    <t>li</t>
  </si>
  <si>
    <t>si</t>
  </si>
  <si>
    <t>er</t>
  </si>
  <si>
    <t>姓名</t>
    <phoneticPr fontId="1" type="noConversion"/>
  </si>
  <si>
    <t>语文</t>
    <phoneticPr fontId="1" type="noConversion"/>
  </si>
  <si>
    <t>数学</t>
    <phoneticPr fontId="1" type="noConversion"/>
  </si>
  <si>
    <t>班级</t>
    <phoneticPr fontId="1" type="noConversion"/>
  </si>
  <si>
    <t>应用</t>
    <phoneticPr fontId="1" type="noConversion"/>
  </si>
  <si>
    <t>张</t>
    <phoneticPr fontId="1" type="noConversion"/>
  </si>
  <si>
    <t>文啊哥</t>
    <phoneticPr fontId="1" type="noConversion"/>
  </si>
  <si>
    <t>wewewe</t>
    <phoneticPr fontId="1" type="noConversion"/>
  </si>
  <si>
    <t>wrwezahf</t>
    <phoneticPr fontId="1" type="noConversion"/>
  </si>
  <si>
    <t>wrew</t>
    <phoneticPr fontId="1" type="noConversion"/>
  </si>
  <si>
    <t>t</t>
    <phoneticPr fontId="1" type="noConversion"/>
  </si>
  <si>
    <t>rrtet</t>
    <phoneticPr fontId="1" type="noConversion"/>
  </si>
  <si>
    <t>wr</t>
    <phoneticPr fontId="1" type="noConversion"/>
  </si>
  <si>
    <t>ewt</t>
    <phoneticPr fontId="1" type="noConversion"/>
  </si>
  <si>
    <t>et43</t>
    <phoneticPr fontId="1" type="noConversion"/>
  </si>
  <si>
    <t>1班</t>
    <phoneticPr fontId="1" type="noConversion"/>
  </si>
  <si>
    <t>2班</t>
    <phoneticPr fontId="1" type="noConversion"/>
  </si>
  <si>
    <t>3班</t>
    <phoneticPr fontId="1" type="noConversion"/>
  </si>
  <si>
    <t>4班</t>
    <phoneticPr fontId="1" type="noConversion"/>
  </si>
  <si>
    <t>演示loopup函数的用法</t>
    <phoneticPr fontId="1" type="noConversion"/>
  </si>
  <si>
    <t>级别</t>
    <phoneticPr fontId="1" type="noConversion"/>
  </si>
  <si>
    <t>职称等级</t>
    <phoneticPr fontId="1" type="noConversion"/>
  </si>
  <si>
    <t>技术等级</t>
    <phoneticPr fontId="1" type="noConversion"/>
  </si>
  <si>
    <t>查询</t>
    <phoneticPr fontId="1" type="noConversion"/>
  </si>
  <si>
    <t>向量型查找</t>
    <phoneticPr fontId="1" type="noConversion"/>
  </si>
  <si>
    <t>专业等级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</si>
  <si>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</si>
  <si>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</si>
  <si>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</si>
  <si>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</si>
  <si>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</si>
  <si>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数组型查找</t>
    <phoneticPr fontId="1" type="noConversion"/>
  </si>
  <si>
    <t>婚否</t>
    <phoneticPr fontId="1" type="noConversion"/>
  </si>
  <si>
    <t>姓名</t>
    <phoneticPr fontId="1" type="noConversion"/>
  </si>
  <si>
    <t>成绩</t>
    <phoneticPr fontId="1" type="noConversion"/>
  </si>
  <si>
    <t>级别</t>
    <phoneticPr fontId="1" type="noConversion"/>
  </si>
  <si>
    <t>wang</t>
    <phoneticPr fontId="1" type="noConversion"/>
  </si>
  <si>
    <t>er</t>
    <phoneticPr fontId="1" type="noConversion"/>
  </si>
  <si>
    <t>xiao</t>
    <phoneticPr fontId="1" type="noConversion"/>
  </si>
  <si>
    <t>ni</t>
    <phoneticPr fontId="1" type="noConversion"/>
  </si>
  <si>
    <t>hao</t>
    <phoneticPr fontId="1" type="noConversion"/>
  </si>
  <si>
    <t>a</t>
    <phoneticPr fontId="1" type="noConversion"/>
  </si>
  <si>
    <t>分割前数据</t>
    <phoneticPr fontId="1" type="noConversion"/>
  </si>
  <si>
    <t>分割后数据</t>
    <phoneticPr fontId="1" type="noConversion"/>
  </si>
  <si>
    <t>3 乘积</t>
  </si>
  <si>
    <t>2 乘积</t>
  </si>
  <si>
    <t>1 乘积</t>
  </si>
  <si>
    <t>总计乘积</t>
  </si>
  <si>
    <t xml:space="preserve">c </t>
    <phoneticPr fontId="1" type="noConversion"/>
  </si>
  <si>
    <t>b</t>
    <phoneticPr fontId="1" type="noConversion"/>
  </si>
  <si>
    <t>a</t>
    <phoneticPr fontId="1" type="noConversion"/>
  </si>
  <si>
    <t>5.1.18.3905</t>
  </si>
  <si>
    <t>5.1.19.3962</t>
  </si>
  <si>
    <t>5.1.20.4010</t>
  </si>
  <si>
    <t>5.1.18.3909</t>
  </si>
  <si>
    <t>5.1.22.4132</t>
  </si>
  <si>
    <t>76EF0F000000VHXE</t>
  </si>
  <si>
    <t>003018A07C00EZ3E</t>
  </si>
  <si>
    <t>51B4BCA20000200E</t>
  </si>
  <si>
    <t>C4FE170C0000W7IE</t>
  </si>
  <si>
    <t>1687E25C0000AAHE</t>
  </si>
  <si>
    <t>6E72166C0000804E</t>
  </si>
  <si>
    <t>CE99B8BC0000200E</t>
  </si>
  <si>
    <t>CC450C000000QB0E</t>
  </si>
  <si>
    <t>F0A2E6300000200E</t>
  </si>
  <si>
    <t>809B20577D00200E</t>
  </si>
  <si>
    <t>8019346A0800200E</t>
  </si>
  <si>
    <t>B8975A8837001ZFE</t>
  </si>
  <si>
    <t>9E60EEB800007COE</t>
  </si>
  <si>
    <t>4857FE400000200E</t>
  </si>
  <si>
    <t>B8975A362600EZ3E</t>
  </si>
  <si>
    <t>C267C4700000TJ6E</t>
  </si>
  <si>
    <t>DC127116000057JE</t>
  </si>
  <si>
    <t>BAB3C40000001NVE</t>
  </si>
  <si>
    <t>24B70A000000B7NE</t>
  </si>
  <si>
    <t>7E2377EC0000YV2E</t>
  </si>
  <si>
    <t>00000VHX</t>
    <phoneticPr fontId="1" type="noConversion"/>
  </si>
  <si>
    <t>id</t>
    <phoneticPr fontId="1" type="noConversion"/>
  </si>
  <si>
    <t>val</t>
    <phoneticPr fontId="1" type="noConversion"/>
  </si>
  <si>
    <t>val_csum</t>
    <phoneticPr fontId="1" type="noConversion"/>
  </si>
  <si>
    <t>val_cmean</t>
    <phoneticPr fontId="1" type="noConversion"/>
  </si>
  <si>
    <t>日期</t>
    <phoneticPr fontId="1" type="noConversion"/>
  </si>
  <si>
    <t>行为</t>
    <phoneticPr fontId="1" type="noConversion"/>
  </si>
  <si>
    <t>指标</t>
    <phoneticPr fontId="1" type="noConversion"/>
  </si>
  <si>
    <t>曝光</t>
    <phoneticPr fontId="1" type="noConversion"/>
  </si>
  <si>
    <t>人数</t>
    <phoneticPr fontId="1" type="noConversion"/>
  </si>
  <si>
    <t>播放</t>
    <phoneticPr fontId="1" type="noConversion"/>
  </si>
  <si>
    <t>次数</t>
    <phoneticPr fontId="1" type="noConversion"/>
  </si>
  <si>
    <t>评论</t>
    <phoneticPr fontId="1" type="noConversion"/>
  </si>
  <si>
    <t>关注</t>
    <phoneticPr fontId="1" type="noConversion"/>
  </si>
  <si>
    <t>维表字段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</si>
</sst>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9"/>
      <color indexed="81"/>
      <name val="宋体"/>
      <charset val="134"/>
    </font>
    <font>
      <b/>
      <sz val="9"/>
      <color indexed="81"/>
      <name val="宋体"/>
      <charset val="134"/>
    </font>
    <font>
      <b/>
      <sz val="11"/>
      <color theme="1"/>
      <name val="宋体"/>
      <family val="3"/>
      <charset val="134"/>
      <scheme val="minor"/>
    </font>
    <font>
      <sz val="11"/>
      <color theme="1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2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5" fillId="0" borderId="1" xfId="0" applyFont="1" applyFill="1" applyBorder="1">
      <alignment vertical="center"/>
    </xf>
    <xf numFmtId="14" fontId="6" fillId="0" borderId="1" xfId="0" applyNumberFormat="1" applyFont="1" applyFill="1" applyBorder="1">
      <alignment vertical="center"/>
    </xf>
    <xf numFmtId="0" fontId="0" fillId="0" borderId="1" xfId="0" applyFill="1" applyBorder="1">
      <alignment vertical="center"/>
    </xf>
    <xf numFmtId="0" fontId="5" fillId="3" borderId="0" xfId="0" applyFon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invertIfNegative val="0"/>
          <c:val>
            <c:numRef>
              <c:f>绘图!$C$4:$C$8</c:f>
              <c:numCache>
                <c:formatCode>General</c:formatCode>
                <c:ptCount val="5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8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79-460E-875B-E70C71C7D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865536"/>
        <c:axId val="196895296"/>
      </c:barChart>
      <c:lineChart>
        <c:grouping val="standard"/>
        <c:varyColors val="0"/>
        <c:ser>
          <c:idx val="0"/>
          <c:order val="0"/>
          <c:val>
            <c:numRef>
              <c:f>绘图!$B$4:$B$8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1.5</c:v>
                </c:pt>
                <c:pt idx="3">
                  <c:v>3</c:v>
                </c:pt>
                <c:pt idx="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79-460E-875B-E70C71C7D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259136"/>
        <c:axId val="196895872"/>
      </c:lineChart>
      <c:catAx>
        <c:axId val="196865536"/>
        <c:scaling>
          <c:orientation val="minMax"/>
        </c:scaling>
        <c:delete val="0"/>
        <c:axPos val="b"/>
        <c:majorTickMark val="out"/>
        <c:minorTickMark val="none"/>
        <c:tickLblPos val="nextTo"/>
        <c:crossAx val="196895296"/>
        <c:crosses val="autoZero"/>
        <c:auto val="1"/>
        <c:lblAlgn val="ctr"/>
        <c:lblOffset val="100"/>
        <c:noMultiLvlLbl val="0"/>
      </c:catAx>
      <c:valAx>
        <c:axId val="196895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865536"/>
        <c:crosses val="autoZero"/>
        <c:crossBetween val="between"/>
      </c:valAx>
      <c:valAx>
        <c:axId val="1968958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27259136"/>
        <c:crosses val="max"/>
        <c:crossBetween val="between"/>
      </c:valAx>
      <c:catAx>
        <c:axId val="127259136"/>
        <c:scaling>
          <c:orientation val="minMax"/>
        </c:scaling>
        <c:delete val="1"/>
        <c:axPos val="b"/>
        <c:majorTickMark val="out"/>
        <c:minorTickMark val="none"/>
        <c:tickLblPos val="nextTo"/>
        <c:crossAx val="19689587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卸载</c:v>
          </c:tx>
          <c:invertIfNegative val="0"/>
          <c:cat>
            <c:strRef>
              <c:f>绘图!$A$4:$A$8</c:f>
              <c:strCache>
                <c:ptCount val="5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</c:strCache>
            </c:strRef>
          </c:cat>
          <c:val>
            <c:numRef>
              <c:f>绘图!$C$4:$C$8</c:f>
              <c:numCache>
                <c:formatCode>General</c:formatCode>
                <c:ptCount val="5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8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6B-44B9-9B86-2D47F6D62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260160"/>
        <c:axId val="196897600"/>
      </c:barChart>
      <c:lineChart>
        <c:grouping val="stacked"/>
        <c:varyColors val="0"/>
        <c:ser>
          <c:idx val="0"/>
          <c:order val="0"/>
          <c:tx>
            <c:v>安装</c:v>
          </c:tx>
          <c:cat>
            <c:strRef>
              <c:f>绘图!$A$4:$A$8</c:f>
              <c:strCache>
                <c:ptCount val="5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</c:strCache>
            </c:strRef>
          </c:cat>
          <c:val>
            <c:numRef>
              <c:f>绘图!$B$4:$B$8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1.5</c:v>
                </c:pt>
                <c:pt idx="3">
                  <c:v>3</c:v>
                </c:pt>
                <c:pt idx="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6B-44B9-9B86-2D47F6D62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261184"/>
        <c:axId val="196898176"/>
      </c:lineChart>
      <c:catAx>
        <c:axId val="1272601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6897600"/>
        <c:crosses val="autoZero"/>
        <c:auto val="1"/>
        <c:lblAlgn val="ctr"/>
        <c:lblOffset val="100"/>
        <c:noMultiLvlLbl val="0"/>
      </c:catAx>
      <c:valAx>
        <c:axId val="196897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260160"/>
        <c:crosses val="autoZero"/>
        <c:crossBetween val="between"/>
      </c:valAx>
      <c:valAx>
        <c:axId val="1968981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27261184"/>
        <c:crosses val="max"/>
        <c:crossBetween val="between"/>
      </c:valAx>
      <c:catAx>
        <c:axId val="127261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89817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36198600174979"/>
          <c:y val="6.9919072615923006E-2"/>
          <c:w val="0.75692979002624672"/>
          <c:h val="0.832619568387284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0"/>
            <c:dispEq val="1"/>
            <c:trendlineLbl>
              <c:numFmt formatCode="General" sourceLinked="0"/>
            </c:trendlineLbl>
          </c:trendline>
          <c:trendline>
            <c:trendlineType val="movingAvg"/>
            <c:period val="2"/>
            <c:dispRSqr val="0"/>
            <c:dispEq val="0"/>
          </c:trendline>
          <c:xVal>
            <c:strRef>
              <c:f>绘图!$A$4:$A$8</c:f>
              <c:strCache>
                <c:ptCount val="5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</c:strCache>
            </c:strRef>
          </c:xVal>
          <c:yVal>
            <c:numRef>
              <c:f>绘图!$B$4:$B$8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1.5</c:v>
                </c:pt>
                <c:pt idx="3">
                  <c:v>3</c:v>
                </c:pt>
                <c:pt idx="4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61-4D5B-9159-C23B0F829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899904"/>
        <c:axId val="196900480"/>
      </c:scatterChart>
      <c:valAx>
        <c:axId val="196899904"/>
        <c:scaling>
          <c:orientation val="minMax"/>
        </c:scaling>
        <c:delete val="0"/>
        <c:axPos val="b"/>
        <c:majorTickMark val="out"/>
        <c:minorTickMark val="none"/>
        <c:tickLblPos val="nextTo"/>
        <c:crossAx val="196900480"/>
        <c:crosses val="autoZero"/>
        <c:crossBetween val="midCat"/>
      </c:valAx>
      <c:valAx>
        <c:axId val="19690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8999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14</xdr:row>
      <xdr:rowOff>80962</xdr:rowOff>
    </xdr:from>
    <xdr:to>
      <xdr:col>9</xdr:col>
      <xdr:colOff>533400</xdr:colOff>
      <xdr:row>30</xdr:row>
      <xdr:rowOff>80962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76200</xdr:colOff>
      <xdr:row>14</xdr:row>
      <xdr:rowOff>80962</xdr:rowOff>
    </xdr:from>
    <xdr:to>
      <xdr:col>9</xdr:col>
      <xdr:colOff>533400</xdr:colOff>
      <xdr:row>30</xdr:row>
      <xdr:rowOff>80962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523875</xdr:colOff>
      <xdr:row>9</xdr:row>
      <xdr:rowOff>119062</xdr:rowOff>
    </xdr:from>
    <xdr:to>
      <xdr:col>19</xdr:col>
      <xdr:colOff>295275</xdr:colOff>
      <xdr:row>25</xdr:row>
      <xdr:rowOff>119062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m" refreshedDate="42363.567250810185" createdVersion="4" refreshedVersion="4" minRefreshableVersion="3" recordCount="3">
  <cacheSource type="worksheet">
    <worksheetSource name="表3"/>
  </cacheSource>
  <cacheFields count="4">
    <cacheField name="日期" numFmtId="0">
      <sharedItems containsSemiMixedTypes="0" containsString="0" containsNumber="1" containsInteger="1" minValue="23" maxValue="23"/>
    </cacheField>
    <cacheField name="来源" numFmtId="0">
      <sharedItems containsSemiMixedTypes="0" containsString="0" containsNumber="1" containsInteger="1" minValue="23" maxValue="323"/>
    </cacheField>
    <cacheField name="姓名" numFmtId="0">
      <sharedItems containsSemiMixedTypes="0" containsString="0" containsNumber="1" containsInteger="1" minValue="2" maxValue="23"/>
    </cacheField>
    <cacheField name="性别" numFmtId="0">
      <sharedItems containsSemiMixedTypes="0" containsString="0" containsNumber="1" containsInteger="1" minValue="23" maxValue="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n v="23"/>
    <n v="323"/>
    <n v="2"/>
    <n v="23"/>
  </r>
  <r>
    <n v="23"/>
    <n v="23"/>
    <n v="23"/>
    <n v="23"/>
  </r>
  <r>
    <n v="23"/>
    <n v="23"/>
    <n v="23"/>
    <n v="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>
  <location ref="A1:D2" firstHeaderRow="0" firstDataRow="1" firstDataCol="0"/>
  <pivotFields count="4">
    <pivotField dataField="1" showAll="0"/>
    <pivotField dataField="1" showAll="0"/>
    <pivotField dataField="1" showAll="0"/>
    <pivotField dataField="1" showAl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求和项:日期" fld="0" baseField="0" baseItem="0"/>
    <dataField name="求和项:来源" fld="1" baseField="0" baseItem="0"/>
    <dataField name="求和项:姓名" fld="2" baseField="0" baseItem="0"/>
    <dataField name="求和项:性别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表3" displayName="表3" ref="A1:D4" totalsRowShown="0">
  <autoFilter ref="A1:D4"/>
  <tableColumns count="4">
    <tableColumn id="1" name="日期"/>
    <tableColumn id="2" name="来源"/>
    <tableColumn id="3" name="姓名"/>
    <tableColumn id="4" name="性别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externalLinkPath" Target="/XMP/Record/201512/20151223/peerid_05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C8"/>
  <sheetViews>
    <sheetView workbookViewId="0">
      <selection activeCell="A4" sqref="A4:C8"/>
    </sheetView>
  </sheetViews>
  <sheetFormatPr defaultRowHeight="13.5" x14ac:dyDescent="0.15"/>
  <sheetData>
    <row r="4" spans="1:3" x14ac:dyDescent="0.15">
      <c r="A4" t="s">
        <v>0</v>
      </c>
      <c r="B4">
        <v>1</v>
      </c>
      <c r="C4">
        <v>3</v>
      </c>
    </row>
    <row r="5" spans="1:3" x14ac:dyDescent="0.15">
      <c r="A5" t="s">
        <v>1</v>
      </c>
      <c r="B5">
        <v>2</v>
      </c>
      <c r="C5">
        <v>5</v>
      </c>
    </row>
    <row r="6" spans="1:3" x14ac:dyDescent="0.15">
      <c r="A6" t="s">
        <v>2</v>
      </c>
      <c r="B6">
        <v>1.5</v>
      </c>
      <c r="C6">
        <v>2</v>
      </c>
    </row>
    <row r="7" spans="1:3" x14ac:dyDescent="0.15">
      <c r="A7" t="s">
        <v>3</v>
      </c>
      <c r="B7">
        <v>3</v>
      </c>
      <c r="C7">
        <v>8</v>
      </c>
    </row>
    <row r="8" spans="1:3" x14ac:dyDescent="0.15">
      <c r="A8" t="s">
        <v>4</v>
      </c>
      <c r="B8">
        <v>12</v>
      </c>
      <c r="C8">
        <v>2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"/>
  <sheetViews>
    <sheetView workbookViewId="0">
      <selection activeCell="K21" sqref="K21"/>
    </sheetView>
  </sheetViews>
  <sheetFormatPr defaultRowHeight="13.5" x14ac:dyDescent="0.15"/>
  <sheetData>
    <row r="1" spans="1:4" x14ac:dyDescent="0.15">
      <c r="A1" t="s">
        <v>5</v>
      </c>
      <c r="B1" t="s">
        <v>6</v>
      </c>
      <c r="C1" t="s">
        <v>7</v>
      </c>
      <c r="D1" t="s">
        <v>8</v>
      </c>
    </row>
    <row r="2" spans="1:4" x14ac:dyDescent="0.15">
      <c r="A2">
        <v>23</v>
      </c>
      <c r="B2">
        <v>323</v>
      </c>
      <c r="C2">
        <v>2</v>
      </c>
      <c r="D2">
        <v>23</v>
      </c>
    </row>
    <row r="3" spans="1:4" x14ac:dyDescent="0.15">
      <c r="A3">
        <v>23</v>
      </c>
      <c r="B3">
        <v>23</v>
      </c>
      <c r="C3">
        <v>23</v>
      </c>
      <c r="D3">
        <v>23</v>
      </c>
    </row>
    <row r="4" spans="1:4" x14ac:dyDescent="0.15">
      <c r="A4">
        <v>23</v>
      </c>
      <c r="B4">
        <v>23</v>
      </c>
      <c r="C4">
        <v>23</v>
      </c>
      <c r="D4">
        <v>23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"/>
  <sheetViews>
    <sheetView workbookViewId="0"/>
  </sheetViews>
  <sheetFormatPr defaultRowHeight="13.5" x14ac:dyDescent="0.15"/>
  <cols>
    <col min="1" max="4" width="13.125" bestFit="1" customWidth="1"/>
  </cols>
  <sheetData>
    <row r="1" spans="1:4" x14ac:dyDescent="0.15">
      <c r="A1" t="s">
        <v>9</v>
      </c>
      <c r="B1" t="s">
        <v>10</v>
      </c>
      <c r="C1" t="s">
        <v>11</v>
      </c>
      <c r="D1" t="s">
        <v>12</v>
      </c>
    </row>
    <row r="2" spans="1:4" x14ac:dyDescent="0.15">
      <c r="A2" s="1">
        <v>69</v>
      </c>
      <c r="B2" s="1">
        <v>369</v>
      </c>
      <c r="C2" s="1">
        <v>48</v>
      </c>
      <c r="D2" s="1">
        <v>69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0"/>
  <sheetViews>
    <sheetView tabSelected="1" workbookViewId="0">
      <selection activeCell="E13" sqref="E13"/>
    </sheetView>
  </sheetViews>
  <sheetFormatPr defaultRowHeight="13.5" x14ac:dyDescent="0.15"/>
  <cols>
    <col min="1" max="1" width="11.375" customWidth="1"/>
  </cols>
  <sheetData>
    <row r="1" spans="1:3" x14ac:dyDescent="0.15">
      <c r="A1" s="15" t="s">
        <v>110</v>
      </c>
    </row>
    <row r="2" spans="1:3" x14ac:dyDescent="0.15">
      <c r="A2" s="12" t="s">
        <v>101</v>
      </c>
      <c r="B2" s="12" t="s">
        <v>102</v>
      </c>
      <c r="C2" s="12" t="s">
        <v>103</v>
      </c>
    </row>
    <row r="3" spans="1:3" ht="14.25" x14ac:dyDescent="0.15">
      <c r="A3" s="13">
        <v>42799</v>
      </c>
      <c r="B3" s="14" t="s">
        <v>104</v>
      </c>
      <c r="C3" s="14" t="s">
        <v>105</v>
      </c>
    </row>
    <row r="4" spans="1:3" ht="14.25" x14ac:dyDescent="0.15">
      <c r="A4" s="13">
        <v>42798</v>
      </c>
      <c r="B4" s="14" t="s">
        <v>106</v>
      </c>
      <c r="C4" s="14" t="s">
        <v>107</v>
      </c>
    </row>
    <row r="5" spans="1:3" ht="14.25" x14ac:dyDescent="0.15">
      <c r="A5" s="13">
        <v>42796</v>
      </c>
      <c r="B5" s="14" t="s">
        <v>108</v>
      </c>
      <c r="C5" s="14"/>
    </row>
    <row r="6" spans="1:3" ht="14.25" x14ac:dyDescent="0.15">
      <c r="A6" s="13">
        <v>42794</v>
      </c>
      <c r="B6" s="14" t="s">
        <v>109</v>
      </c>
      <c r="C6" s="14"/>
    </row>
    <row r="7" spans="1:3" ht="14.25" x14ac:dyDescent="0.15">
      <c r="A7" s="13">
        <v>42687</v>
      </c>
      <c r="B7" s="14"/>
      <c r="C7" s="14"/>
    </row>
    <row r="8" spans="1:3" ht="14.25" x14ac:dyDescent="0.15">
      <c r="A8" s="13">
        <v>42685</v>
      </c>
      <c r="B8" s="14"/>
      <c r="C8" s="14"/>
    </row>
    <row r="9" spans="1:3" ht="14.25" x14ac:dyDescent="0.15">
      <c r="A9" s="13">
        <v>42683</v>
      </c>
      <c r="B9" s="14"/>
      <c r="C9" s="14"/>
    </row>
    <row r="10" spans="1:3" ht="14.25" x14ac:dyDescent="0.15">
      <c r="A10" s="13">
        <v>42681</v>
      </c>
      <c r="B10" s="14"/>
      <c r="C10" s="14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6"/>
  <sheetViews>
    <sheetView topLeftCell="A4" workbookViewId="0">
      <selection activeCell="A10" sqref="A10"/>
    </sheetView>
  </sheetViews>
  <sheetFormatPr defaultRowHeight="13.5" x14ac:dyDescent="0.15"/>
  <cols>
    <col min="1" max="1" width="21.375" customWidth="1"/>
    <col min="2" max="2" width="25" customWidth="1"/>
  </cols>
  <sheetData>
    <row r="1" spans="1:7" x14ac:dyDescent="0.15">
      <c r="A1" t="s">
        <v>62</v>
      </c>
      <c r="C1" t="s">
        <v>63</v>
      </c>
    </row>
    <row r="2" spans="1:7" x14ac:dyDescent="0.15">
      <c r="A2" t="s">
        <v>14</v>
      </c>
      <c r="B2" t="s">
        <v>13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</row>
    <row r="3" spans="1:7" x14ac:dyDescent="0.15">
      <c r="C3">
        <v>122</v>
      </c>
      <c r="D3">
        <v>32</v>
      </c>
      <c r="E3">
        <v>32</v>
      </c>
      <c r="F3">
        <v>43</v>
      </c>
      <c r="G3">
        <v>34</v>
      </c>
    </row>
    <row r="7" spans="1:7" x14ac:dyDescent="0.15">
      <c r="A7" t="s">
        <v>76</v>
      </c>
      <c r="B7" t="s">
        <v>96</v>
      </c>
    </row>
    <row r="8" spans="1:7" x14ac:dyDescent="0.15">
      <c r="A8" t="s">
        <v>76</v>
      </c>
    </row>
    <row r="9" spans="1:7" x14ac:dyDescent="0.15">
      <c r="A9" t="s">
        <v>76</v>
      </c>
    </row>
    <row r="10" spans="1:7" x14ac:dyDescent="0.15">
      <c r="A10" t="s">
        <v>77</v>
      </c>
    </row>
    <row r="11" spans="1:7" x14ac:dyDescent="0.15">
      <c r="A11" t="s">
        <v>77</v>
      </c>
    </row>
    <row r="12" spans="1:7" x14ac:dyDescent="0.15">
      <c r="A12" t="s">
        <v>77</v>
      </c>
    </row>
    <row r="13" spans="1:7" x14ac:dyDescent="0.15">
      <c r="A13" t="s">
        <v>77</v>
      </c>
    </row>
    <row r="14" spans="1:7" x14ac:dyDescent="0.15">
      <c r="A14" t="s">
        <v>78</v>
      </c>
    </row>
    <row r="15" spans="1:7" x14ac:dyDescent="0.15">
      <c r="A15" t="s">
        <v>79</v>
      </c>
    </row>
    <row r="16" spans="1:7" x14ac:dyDescent="0.15">
      <c r="A16" t="s">
        <v>80</v>
      </c>
    </row>
    <row r="17" spans="1:1" x14ac:dyDescent="0.15">
      <c r="A17" t="s">
        <v>81</v>
      </c>
    </row>
    <row r="18" spans="1:1" x14ac:dyDescent="0.15">
      <c r="A18" t="s">
        <v>82</v>
      </c>
    </row>
    <row r="19" spans="1:1" x14ac:dyDescent="0.15">
      <c r="A19" t="s">
        <v>83</v>
      </c>
    </row>
    <row r="20" spans="1:1" x14ac:dyDescent="0.15">
      <c r="A20" t="s">
        <v>84</v>
      </c>
    </row>
    <row r="21" spans="1:1" x14ac:dyDescent="0.15">
      <c r="A21" t="s">
        <v>85</v>
      </c>
    </row>
    <row r="22" spans="1:1" x14ac:dyDescent="0.15">
      <c r="A22" t="s">
        <v>86</v>
      </c>
    </row>
    <row r="23" spans="1:1" x14ac:dyDescent="0.15">
      <c r="A23" t="s">
        <v>87</v>
      </c>
    </row>
    <row r="24" spans="1:1" x14ac:dyDescent="0.15">
      <c r="A24" t="s">
        <v>88</v>
      </c>
    </row>
    <row r="25" spans="1:1" x14ac:dyDescent="0.15">
      <c r="A25" t="s">
        <v>89</v>
      </c>
    </row>
    <row r="26" spans="1:1" x14ac:dyDescent="0.15">
      <c r="A26" t="s">
        <v>90</v>
      </c>
    </row>
    <row r="27" spans="1:1" x14ac:dyDescent="0.15">
      <c r="A27" t="s">
        <v>91</v>
      </c>
    </row>
    <row r="28" spans="1:1" x14ac:dyDescent="0.15">
      <c r="A28" t="s">
        <v>92</v>
      </c>
    </row>
    <row r="29" spans="1:1" x14ac:dyDescent="0.15">
      <c r="A29" t="s">
        <v>93</v>
      </c>
    </row>
    <row r="30" spans="1:1" x14ac:dyDescent="0.15">
      <c r="A30" t="s">
        <v>94</v>
      </c>
    </row>
    <row r="31" spans="1:1" x14ac:dyDescent="0.15">
      <c r="A31" t="s">
        <v>95</v>
      </c>
    </row>
    <row r="32" spans="1:1" x14ac:dyDescent="0.15">
      <c r="A32" t="s">
        <v>95</v>
      </c>
    </row>
    <row r="33" spans="1:1" x14ac:dyDescent="0.15">
      <c r="A33" t="s">
        <v>95</v>
      </c>
    </row>
    <row r="34" spans="1:1" x14ac:dyDescent="0.15">
      <c r="A34" t="s">
        <v>95</v>
      </c>
    </row>
    <row r="35" spans="1:1" x14ac:dyDescent="0.15">
      <c r="A35" t="s">
        <v>95</v>
      </c>
    </row>
    <row r="36" spans="1:1" x14ac:dyDescent="0.15">
      <c r="A36" t="s">
        <v>95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"/>
  <sheetViews>
    <sheetView workbookViewId="0"/>
  </sheetViews>
  <sheetFormatPr defaultRowHeight="13.5" outlineLevelRow="3" x14ac:dyDescent="0.15"/>
  <sheetData>
    <row r="1" spans="1:3" outlineLevel="1" x14ac:dyDescent="0.15">
      <c r="A1">
        <v>1</v>
      </c>
      <c r="B1">
        <v>1</v>
      </c>
      <c r="C1">
        <v>3</v>
      </c>
    </row>
    <row r="2" spans="1:3" outlineLevel="2" x14ac:dyDescent="0.15">
      <c r="B2">
        <v>1.1000000000000001</v>
      </c>
      <c r="C2">
        <v>2</v>
      </c>
    </row>
    <row r="3" spans="1:3" outlineLevel="2" x14ac:dyDescent="0.15">
      <c r="B3">
        <v>1.2</v>
      </c>
      <c r="C3">
        <v>2</v>
      </c>
    </row>
    <row r="4" spans="1:3" outlineLevel="1" x14ac:dyDescent="0.15">
      <c r="A4">
        <v>2</v>
      </c>
      <c r="B4">
        <v>3</v>
      </c>
      <c r="C4">
        <v>8</v>
      </c>
    </row>
    <row r="5" spans="1:3" outlineLevel="3" x14ac:dyDescent="0.15">
      <c r="C5">
        <v>2</v>
      </c>
    </row>
    <row r="6" spans="1:3" outlineLevel="3" x14ac:dyDescent="0.15"/>
  </sheetData>
  <dataConsolidate function="count" topLabels="1">
    <dataRefs count="3">
      <dataRef ref="F1" sheet="分组"/>
      <dataRef ref="H1" sheet="分组"/>
      <dataRef ref="B2:C3" sheet="分组"/>
    </dataRefs>
  </dataConsolid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3"/>
  <sheetViews>
    <sheetView workbookViewId="0">
      <selection sqref="A1:XFD1"/>
    </sheetView>
  </sheetViews>
  <sheetFormatPr defaultRowHeight="13.5" x14ac:dyDescent="0.15"/>
  <sheetData>
    <row r="1" spans="1:5" s="10" customFormat="1" x14ac:dyDescent="0.15">
      <c r="A1" s="10" t="s">
        <v>20</v>
      </c>
      <c r="B1" s="10" t="s">
        <v>23</v>
      </c>
      <c r="C1" s="10" t="s">
        <v>21</v>
      </c>
      <c r="D1" s="10" t="s">
        <v>22</v>
      </c>
      <c r="E1" s="10" t="s">
        <v>24</v>
      </c>
    </row>
    <row r="2" spans="1:5" x14ac:dyDescent="0.15">
      <c r="A2" t="s">
        <v>25</v>
      </c>
      <c r="B2" t="s">
        <v>35</v>
      </c>
      <c r="C2">
        <v>123</v>
      </c>
      <c r="D2">
        <v>22</v>
      </c>
      <c r="E2">
        <v>1</v>
      </c>
    </row>
    <row r="3" spans="1:5" x14ac:dyDescent="0.15">
      <c r="A3" t="s">
        <v>27</v>
      </c>
      <c r="B3" t="s">
        <v>35</v>
      </c>
      <c r="C3">
        <v>125</v>
      </c>
      <c r="D3">
        <v>24</v>
      </c>
      <c r="E3">
        <v>5</v>
      </c>
    </row>
    <row r="4" spans="1:5" x14ac:dyDescent="0.15">
      <c r="A4" t="s">
        <v>30</v>
      </c>
      <c r="B4" t="s">
        <v>35</v>
      </c>
      <c r="C4">
        <v>129</v>
      </c>
      <c r="D4">
        <v>28</v>
      </c>
      <c r="E4">
        <v>13</v>
      </c>
    </row>
    <row r="5" spans="1:5" x14ac:dyDescent="0.15">
      <c r="A5" t="s">
        <v>34</v>
      </c>
      <c r="B5" t="s">
        <v>35</v>
      </c>
      <c r="C5">
        <v>132</v>
      </c>
      <c r="D5">
        <v>31</v>
      </c>
      <c r="E5">
        <v>19</v>
      </c>
    </row>
    <row r="6" spans="1:5" x14ac:dyDescent="0.15">
      <c r="A6" t="s">
        <v>33</v>
      </c>
      <c r="B6" t="s">
        <v>35</v>
      </c>
      <c r="C6">
        <v>134</v>
      </c>
      <c r="D6">
        <v>33</v>
      </c>
      <c r="E6">
        <v>23</v>
      </c>
    </row>
    <row r="7" spans="1:5" x14ac:dyDescent="0.15">
      <c r="A7" t="s">
        <v>26</v>
      </c>
      <c r="B7" t="s">
        <v>36</v>
      </c>
      <c r="C7">
        <v>124</v>
      </c>
      <c r="D7">
        <v>23</v>
      </c>
      <c r="E7">
        <v>3</v>
      </c>
    </row>
    <row r="8" spans="1:5" x14ac:dyDescent="0.15">
      <c r="A8" t="s">
        <v>29</v>
      </c>
      <c r="B8" t="s">
        <v>36</v>
      </c>
      <c r="C8">
        <v>128</v>
      </c>
      <c r="D8">
        <v>27</v>
      </c>
      <c r="E8">
        <v>11</v>
      </c>
    </row>
    <row r="9" spans="1:5" x14ac:dyDescent="0.15">
      <c r="A9">
        <v>232</v>
      </c>
      <c r="B9" t="s">
        <v>36</v>
      </c>
      <c r="C9">
        <v>130</v>
      </c>
      <c r="D9">
        <v>29</v>
      </c>
      <c r="E9">
        <v>15</v>
      </c>
    </row>
    <row r="10" spans="1:5" x14ac:dyDescent="0.15">
      <c r="A10" t="s">
        <v>31</v>
      </c>
      <c r="B10" t="s">
        <v>36</v>
      </c>
      <c r="C10">
        <v>131</v>
      </c>
      <c r="D10">
        <v>30</v>
      </c>
      <c r="E10">
        <v>17</v>
      </c>
    </row>
    <row r="11" spans="1:5" x14ac:dyDescent="0.15">
      <c r="A11" t="s">
        <v>28</v>
      </c>
      <c r="B11" t="s">
        <v>37</v>
      </c>
      <c r="C11">
        <v>126</v>
      </c>
      <c r="D11">
        <v>25</v>
      </c>
      <c r="E11">
        <v>7</v>
      </c>
    </row>
    <row r="12" spans="1:5" x14ac:dyDescent="0.15">
      <c r="A12" t="s">
        <v>32</v>
      </c>
      <c r="B12" t="s">
        <v>37</v>
      </c>
      <c r="C12">
        <v>133</v>
      </c>
      <c r="D12">
        <v>32</v>
      </c>
      <c r="E12">
        <v>21</v>
      </c>
    </row>
    <row r="13" spans="1:5" x14ac:dyDescent="0.15">
      <c r="A13" t="s">
        <v>29</v>
      </c>
      <c r="B13" t="s">
        <v>38</v>
      </c>
      <c r="C13">
        <v>127</v>
      </c>
      <c r="D13">
        <v>26</v>
      </c>
      <c r="E13">
        <v>9</v>
      </c>
    </row>
  </sheetData>
  <sortState ref="A2:E13">
    <sortCondition ref="B1"/>
  </sortState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5"/>
  <sheetViews>
    <sheetView workbookViewId="0">
      <selection activeCell="B13" sqref="B13"/>
    </sheetView>
  </sheetViews>
  <sheetFormatPr defaultRowHeight="13.5" x14ac:dyDescent="0.15"/>
  <cols>
    <col min="3" max="3" width="9.5" customWidth="1"/>
  </cols>
  <sheetData>
    <row r="1" spans="1:5" x14ac:dyDescent="0.15">
      <c r="A1" t="s">
        <v>39</v>
      </c>
    </row>
    <row r="2" spans="1:5" x14ac:dyDescent="0.15">
      <c r="A2" s="2" t="s">
        <v>40</v>
      </c>
      <c r="B2" s="2" t="s">
        <v>41</v>
      </c>
      <c r="C2" s="2" t="s">
        <v>42</v>
      </c>
      <c r="D2" s="3" t="s">
        <v>45</v>
      </c>
      <c r="E2" s="4" t="s">
        <v>52</v>
      </c>
    </row>
    <row r="3" spans="1:5" x14ac:dyDescent="0.15">
      <c r="A3" s="2" t="s">
        <v>0</v>
      </c>
      <c r="B3" s="2">
        <v>1</v>
      </c>
      <c r="C3" s="2">
        <v>3</v>
      </c>
      <c r="D3" s="2" t="s">
        <v>46</v>
      </c>
      <c r="E3" s="5">
        <v>1</v>
      </c>
    </row>
    <row r="4" spans="1:5" x14ac:dyDescent="0.15">
      <c r="A4" s="2" t="s">
        <v>1</v>
      </c>
      <c r="B4" s="2">
        <v>2</v>
      </c>
      <c r="C4" s="2">
        <v>5</v>
      </c>
      <c r="D4" s="2" t="s">
        <v>47</v>
      </c>
      <c r="E4" s="5">
        <v>0</v>
      </c>
    </row>
    <row r="5" spans="1:5" x14ac:dyDescent="0.15">
      <c r="A5" s="2" t="s">
        <v>2</v>
      </c>
      <c r="B5" s="2">
        <v>1.5</v>
      </c>
      <c r="C5" s="2">
        <v>2</v>
      </c>
      <c r="D5" s="2" t="s">
        <v>48</v>
      </c>
      <c r="E5" s="5">
        <v>1</v>
      </c>
    </row>
    <row r="6" spans="1:5" x14ac:dyDescent="0.15">
      <c r="A6" s="2" t="s">
        <v>3</v>
      </c>
      <c r="B6" s="2">
        <v>3</v>
      </c>
      <c r="C6" s="2">
        <v>8</v>
      </c>
      <c r="D6" s="2" t="s">
        <v>49</v>
      </c>
      <c r="E6" s="5">
        <v>0</v>
      </c>
    </row>
    <row r="7" spans="1:5" x14ac:dyDescent="0.15">
      <c r="A7" s="2" t="s">
        <v>4</v>
      </c>
      <c r="B7" s="2">
        <v>12</v>
      </c>
      <c r="C7" s="2">
        <v>6</v>
      </c>
      <c r="D7" s="2" t="s">
        <v>50</v>
      </c>
      <c r="E7" s="5">
        <v>0</v>
      </c>
    </row>
    <row r="10" spans="1:5" x14ac:dyDescent="0.15">
      <c r="A10" t="s">
        <v>43</v>
      </c>
    </row>
    <row r="11" spans="1:5" x14ac:dyDescent="0.15">
      <c r="A11" s="2" t="s">
        <v>41</v>
      </c>
      <c r="B11" s="2" t="s">
        <v>42</v>
      </c>
    </row>
    <row r="12" spans="1:5" x14ac:dyDescent="0.15">
      <c r="A12" s="2">
        <v>12</v>
      </c>
      <c r="B12" s="2">
        <f>LOOKUP(A12,B3:B7,C3:C7)</f>
        <v>6</v>
      </c>
      <c r="C12" t="s">
        <v>44</v>
      </c>
    </row>
    <row r="13" spans="1:5" x14ac:dyDescent="0.15">
      <c r="A13" s="2">
        <v>12</v>
      </c>
      <c r="B13" s="2">
        <f>LOOKUP(A13,B3:D3)</f>
        <v>3</v>
      </c>
      <c r="C13" t="s">
        <v>51</v>
      </c>
    </row>
    <row r="14" spans="1:5" x14ac:dyDescent="0.15">
      <c r="A14" s="2"/>
      <c r="B14" s="2"/>
    </row>
    <row r="15" spans="1:5" x14ac:dyDescent="0.15">
      <c r="A15" s="2"/>
      <c r="B15" s="2"/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"/>
  <sheetViews>
    <sheetView workbookViewId="0">
      <selection activeCell="C16" sqref="C16"/>
    </sheetView>
  </sheetViews>
  <sheetFormatPr defaultRowHeight="13.5" x14ac:dyDescent="0.15"/>
  <cols>
    <col min="3" max="3" width="17.375" customWidth="1"/>
  </cols>
  <sheetData>
    <row r="1" spans="1:3" s="10" customFormat="1" x14ac:dyDescent="0.15">
      <c r="A1" s="10" t="s">
        <v>53</v>
      </c>
      <c r="B1" s="10" t="s">
        <v>54</v>
      </c>
      <c r="C1" s="10" t="s">
        <v>55</v>
      </c>
    </row>
    <row r="2" spans="1:3" x14ac:dyDescent="0.15">
      <c r="A2" t="s">
        <v>56</v>
      </c>
      <c r="B2">
        <v>12</v>
      </c>
      <c r="C2" t="str">
        <f>IF(B2&lt;60,"不及格",IF(B2&lt;70,"良好",IF(B2&lt;80,"优秀","天才")))</f>
        <v>不及格</v>
      </c>
    </row>
    <row r="3" spans="1:3" x14ac:dyDescent="0.15">
      <c r="A3" t="s">
        <v>57</v>
      </c>
      <c r="B3">
        <v>53</v>
      </c>
      <c r="C3" t="str">
        <f t="shared" ref="C3:C7" si="0">IF(B3&lt;60,"不及格",IF(B3&lt;70,"良好",IF(B3&lt;80,"优秀","天才")))</f>
        <v>不及格</v>
      </c>
    </row>
    <row r="4" spans="1:3" x14ac:dyDescent="0.15">
      <c r="A4" t="s">
        <v>58</v>
      </c>
      <c r="B4">
        <v>65</v>
      </c>
      <c r="C4" t="str">
        <f t="shared" si="0"/>
        <v>良好</v>
      </c>
    </row>
    <row r="5" spans="1:3" x14ac:dyDescent="0.15">
      <c r="A5" t="s">
        <v>59</v>
      </c>
      <c r="B5">
        <v>75</v>
      </c>
      <c r="C5" t="str">
        <f t="shared" si="0"/>
        <v>优秀</v>
      </c>
    </row>
    <row r="6" spans="1:3" x14ac:dyDescent="0.15">
      <c r="A6" t="s">
        <v>60</v>
      </c>
      <c r="B6">
        <v>88</v>
      </c>
      <c r="C6" t="str">
        <f t="shared" si="0"/>
        <v>天才</v>
      </c>
    </row>
    <row r="7" spans="1:3" x14ac:dyDescent="0.15">
      <c r="A7" t="s">
        <v>61</v>
      </c>
      <c r="B7">
        <v>90</v>
      </c>
      <c r="C7" t="str">
        <f t="shared" si="0"/>
        <v>天才</v>
      </c>
    </row>
  </sheetData>
  <phoneticPr fontId="1" type="noConversion"/>
  <pageMargins left="0.7" right="0.7" top="0.75" bottom="0.75" header="0.3" footer="0.3"/>
  <pageSetup paperSize="9" orientation="portrait" horizont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12"/>
  <sheetViews>
    <sheetView workbookViewId="0">
      <selection activeCell="G8" sqref="G8"/>
    </sheetView>
  </sheetViews>
  <sheetFormatPr defaultRowHeight="13.5" x14ac:dyDescent="0.15"/>
  <cols>
    <col min="1" max="1" width="4.75" customWidth="1"/>
    <col min="2" max="2" width="7.75" style="8" customWidth="1"/>
    <col min="4" max="4" width="11" customWidth="1"/>
  </cols>
  <sheetData>
    <row r="1" spans="1:4" s="10" customFormat="1" x14ac:dyDescent="0.15">
      <c r="A1" s="10" t="s">
        <v>97</v>
      </c>
      <c r="B1" s="11" t="s">
        <v>98</v>
      </c>
      <c r="C1" s="10" t="s">
        <v>99</v>
      </c>
      <c r="D1" s="10" t="s">
        <v>100</v>
      </c>
    </row>
    <row r="2" spans="1:4" x14ac:dyDescent="0.15">
      <c r="A2">
        <v>1</v>
      </c>
      <c r="B2" s="9">
        <v>12</v>
      </c>
      <c r="C2" s="9">
        <f>B2</f>
        <v>12</v>
      </c>
      <c r="D2" s="9">
        <f>C2/A2</f>
        <v>12</v>
      </c>
    </row>
    <row r="3" spans="1:4" x14ac:dyDescent="0.15">
      <c r="A3">
        <v>2</v>
      </c>
      <c r="B3" s="9">
        <v>3</v>
      </c>
      <c r="C3" s="9">
        <f>C2+B3</f>
        <v>15</v>
      </c>
      <c r="D3" s="9">
        <f t="shared" ref="D3:D12" si="0">C3/A3</f>
        <v>7.5</v>
      </c>
    </row>
    <row r="4" spans="1:4" x14ac:dyDescent="0.15">
      <c r="A4">
        <v>3</v>
      </c>
      <c r="B4" s="9">
        <v>23</v>
      </c>
      <c r="C4" s="9">
        <f t="shared" ref="C4:C12" si="1">C3+B4</f>
        <v>38</v>
      </c>
      <c r="D4" s="9">
        <f t="shared" si="0"/>
        <v>12.666666666666666</v>
      </c>
    </row>
    <row r="5" spans="1:4" x14ac:dyDescent="0.15">
      <c r="A5">
        <v>4</v>
      </c>
      <c r="B5" s="9">
        <v>34</v>
      </c>
      <c r="C5" s="9">
        <f t="shared" si="1"/>
        <v>72</v>
      </c>
      <c r="D5" s="9">
        <f t="shared" si="0"/>
        <v>18</v>
      </c>
    </row>
    <row r="6" spans="1:4" x14ac:dyDescent="0.15">
      <c r="A6">
        <v>5</v>
      </c>
      <c r="B6" s="9">
        <v>23</v>
      </c>
      <c r="C6" s="9">
        <f t="shared" si="1"/>
        <v>95</v>
      </c>
      <c r="D6" s="9">
        <f t="shared" si="0"/>
        <v>19</v>
      </c>
    </row>
    <row r="7" spans="1:4" x14ac:dyDescent="0.15">
      <c r="A7">
        <v>6</v>
      </c>
      <c r="B7" s="9">
        <v>2</v>
      </c>
      <c r="C7" s="9">
        <f t="shared" si="1"/>
        <v>97</v>
      </c>
      <c r="D7" s="9">
        <f t="shared" si="0"/>
        <v>16.166666666666668</v>
      </c>
    </row>
    <row r="8" spans="1:4" x14ac:dyDescent="0.15">
      <c r="A8">
        <v>7</v>
      </c>
      <c r="B8" s="9">
        <v>3</v>
      </c>
      <c r="C8" s="9">
        <f t="shared" si="1"/>
        <v>100</v>
      </c>
      <c r="D8" s="9">
        <f t="shared" si="0"/>
        <v>14.285714285714286</v>
      </c>
    </row>
    <row r="9" spans="1:4" x14ac:dyDescent="0.15">
      <c r="A9">
        <v>8</v>
      </c>
      <c r="B9" s="9">
        <v>2</v>
      </c>
      <c r="C9" s="9">
        <f t="shared" si="1"/>
        <v>102</v>
      </c>
      <c r="D9" s="9">
        <f t="shared" si="0"/>
        <v>12.75</v>
      </c>
    </row>
    <row r="10" spans="1:4" x14ac:dyDescent="0.15">
      <c r="A10">
        <v>9</v>
      </c>
      <c r="B10" s="9">
        <v>3</v>
      </c>
      <c r="C10" s="9">
        <f t="shared" si="1"/>
        <v>105</v>
      </c>
      <c r="D10" s="9">
        <f t="shared" si="0"/>
        <v>11.666666666666666</v>
      </c>
    </row>
    <row r="11" spans="1:4" x14ac:dyDescent="0.15">
      <c r="A11">
        <v>10</v>
      </c>
      <c r="B11" s="9">
        <v>3244</v>
      </c>
      <c r="C11" s="9">
        <f t="shared" si="1"/>
        <v>3349</v>
      </c>
      <c r="D11" s="9">
        <f t="shared" si="0"/>
        <v>334.9</v>
      </c>
    </row>
    <row r="12" spans="1:4" x14ac:dyDescent="0.15">
      <c r="A12">
        <v>11</v>
      </c>
      <c r="B12" s="9">
        <v>321</v>
      </c>
      <c r="C12" s="9">
        <f t="shared" si="1"/>
        <v>3670</v>
      </c>
      <c r="D12" s="9">
        <f t="shared" si="0"/>
        <v>333.63636363636363</v>
      </c>
    </row>
  </sheetData>
  <phoneticPr fontId="1" type="noConversion"/>
  <pageMargins left="0.7" right="0.7" top="0.75" bottom="0.75" header="0.3" footer="0.3"/>
  <pageSetup paperSize="9" orientation="portrait" horizontalDpi="3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outlinePr summaryBelow="0"/>
  </sheetPr>
  <dimension ref="A1:I33"/>
  <sheetViews>
    <sheetView workbookViewId="0">
      <selection activeCell="C4" sqref="C4"/>
    </sheetView>
  </sheetViews>
  <sheetFormatPr defaultRowHeight="13.5" outlineLevelRow="2" x14ac:dyDescent="0.15"/>
  <cols>
    <col min="1" max="1" width="16.75" customWidth="1"/>
    <col min="3" max="4" width="9" customWidth="1"/>
  </cols>
  <sheetData>
    <row r="1" spans="1:9" outlineLevel="1" x14ac:dyDescent="0.15">
      <c r="A1" s="7" t="s">
        <v>71</v>
      </c>
      <c r="B1">
        <v>5</v>
      </c>
      <c r="C1">
        <v>1</v>
      </c>
      <c r="D1">
        <v>18</v>
      </c>
      <c r="E1">
        <v>3905</v>
      </c>
    </row>
    <row r="2" spans="1:9" outlineLevel="1" x14ac:dyDescent="0.15">
      <c r="A2" s="7" t="s">
        <v>71</v>
      </c>
      <c r="B2">
        <v>5</v>
      </c>
      <c r="C2">
        <v>1</v>
      </c>
      <c r="D2">
        <v>18</v>
      </c>
      <c r="E2">
        <v>3905</v>
      </c>
      <c r="H2">
        <v>18</v>
      </c>
      <c r="I2">
        <v>3905</v>
      </c>
    </row>
    <row r="3" spans="1:9" outlineLevel="2" x14ac:dyDescent="0.15">
      <c r="A3" s="7" t="s">
        <v>75</v>
      </c>
      <c r="B3">
        <v>5</v>
      </c>
      <c r="C3">
        <v>1</v>
      </c>
      <c r="D3">
        <v>22</v>
      </c>
      <c r="E3">
        <v>4132</v>
      </c>
      <c r="H3">
        <v>18</v>
      </c>
      <c r="I3">
        <v>3905</v>
      </c>
    </row>
    <row r="4" spans="1:9" outlineLevel="2" x14ac:dyDescent="0.15">
      <c r="A4" s="7" t="s">
        <v>74</v>
      </c>
      <c r="B4">
        <v>5</v>
      </c>
      <c r="C4">
        <v>1</v>
      </c>
      <c r="D4">
        <v>18</v>
      </c>
      <c r="E4">
        <v>3909</v>
      </c>
      <c r="H4">
        <v>22</v>
      </c>
      <c r="I4">
        <v>4132</v>
      </c>
    </row>
    <row r="5" spans="1:9" outlineLevel="1" x14ac:dyDescent="0.15">
      <c r="A5" s="7" t="s">
        <v>72</v>
      </c>
      <c r="B5">
        <v>5</v>
      </c>
      <c r="C5">
        <v>1</v>
      </c>
      <c r="D5">
        <v>19</v>
      </c>
      <c r="E5">
        <v>3962</v>
      </c>
      <c r="H5">
        <v>18</v>
      </c>
      <c r="I5">
        <v>3909</v>
      </c>
    </row>
    <row r="6" spans="1:9" x14ac:dyDescent="0.15">
      <c r="A6" s="7" t="s">
        <v>73</v>
      </c>
      <c r="B6">
        <v>5</v>
      </c>
      <c r="C6">
        <v>1</v>
      </c>
      <c r="D6">
        <v>20</v>
      </c>
      <c r="E6">
        <v>4010</v>
      </c>
    </row>
    <row r="7" spans="1:9" x14ac:dyDescent="0.15">
      <c r="A7" s="7" t="s">
        <v>72</v>
      </c>
      <c r="B7">
        <v>5</v>
      </c>
      <c r="C7">
        <v>1</v>
      </c>
      <c r="D7">
        <v>19</v>
      </c>
      <c r="E7">
        <v>3962</v>
      </c>
    </row>
    <row r="8" spans="1:9" x14ac:dyDescent="0.15">
      <c r="A8" s="7" t="s">
        <v>71</v>
      </c>
      <c r="B8">
        <v>5</v>
      </c>
      <c r="C8">
        <v>1</v>
      </c>
      <c r="D8">
        <v>18</v>
      </c>
      <c r="E8">
        <v>3905</v>
      </c>
      <c r="I8">
        <v>3962</v>
      </c>
    </row>
    <row r="9" spans="1:9" x14ac:dyDescent="0.15">
      <c r="A9" s="7" t="s">
        <v>71</v>
      </c>
      <c r="B9">
        <v>5</v>
      </c>
      <c r="C9">
        <v>1</v>
      </c>
      <c r="D9">
        <v>18</v>
      </c>
      <c r="E9">
        <v>3905</v>
      </c>
      <c r="I9">
        <v>4010</v>
      </c>
    </row>
    <row r="10" spans="1:9" x14ac:dyDescent="0.15">
      <c r="I10">
        <v>3962</v>
      </c>
    </row>
    <row r="11" spans="1:9" x14ac:dyDescent="0.15">
      <c r="I11">
        <v>3905</v>
      </c>
    </row>
    <row r="12" spans="1:9" x14ac:dyDescent="0.15">
      <c r="I12">
        <v>3905</v>
      </c>
    </row>
    <row r="23" spans="5:7" x14ac:dyDescent="0.15">
      <c r="E23" t="s">
        <v>70</v>
      </c>
      <c r="F23" t="s">
        <v>69</v>
      </c>
      <c r="G23" t="s">
        <v>68</v>
      </c>
    </row>
    <row r="24" spans="5:7" x14ac:dyDescent="0.15">
      <c r="E24" s="6" t="s">
        <v>67</v>
      </c>
      <c r="F24">
        <f>SUBTOTAL(6,F26:F33)</f>
        <v>51464160</v>
      </c>
    </row>
    <row r="25" spans="5:7" outlineLevel="1" x14ac:dyDescent="0.15">
      <c r="E25" s="6" t="s">
        <v>66</v>
      </c>
      <c r="F25">
        <f>SUBTOTAL(6,F26:F28)</f>
        <v>7920</v>
      </c>
    </row>
    <row r="26" spans="5:7" outlineLevel="2" x14ac:dyDescent="0.15">
      <c r="E26">
        <v>1</v>
      </c>
      <c r="F26">
        <v>18</v>
      </c>
      <c r="G26">
        <v>3905</v>
      </c>
    </row>
    <row r="27" spans="5:7" outlineLevel="2" x14ac:dyDescent="0.15">
      <c r="E27">
        <v>1</v>
      </c>
      <c r="F27">
        <v>22</v>
      </c>
      <c r="G27">
        <v>4132</v>
      </c>
    </row>
    <row r="28" spans="5:7" outlineLevel="2" x14ac:dyDescent="0.15">
      <c r="E28">
        <v>1</v>
      </c>
      <c r="F28">
        <v>20</v>
      </c>
      <c r="G28">
        <v>4010</v>
      </c>
    </row>
    <row r="29" spans="5:7" outlineLevel="1" x14ac:dyDescent="0.15">
      <c r="E29" s="6" t="s">
        <v>65</v>
      </c>
      <c r="F29">
        <f>SUBTOTAL(6,F30:F31)</f>
        <v>361</v>
      </c>
    </row>
    <row r="30" spans="5:7" outlineLevel="2" x14ac:dyDescent="0.15">
      <c r="E30">
        <v>2</v>
      </c>
      <c r="F30">
        <v>19</v>
      </c>
      <c r="G30">
        <v>3962</v>
      </c>
    </row>
    <row r="31" spans="5:7" outlineLevel="2" x14ac:dyDescent="0.15">
      <c r="E31">
        <v>2</v>
      </c>
      <c r="F31">
        <v>19</v>
      </c>
      <c r="G31">
        <v>3962</v>
      </c>
    </row>
    <row r="32" spans="5:7" outlineLevel="1" x14ac:dyDescent="0.15">
      <c r="E32" s="6" t="s">
        <v>64</v>
      </c>
      <c r="F32">
        <f>SUBTOTAL(6,F33:F33)</f>
        <v>18</v>
      </c>
    </row>
    <row r="33" spans="5:7" outlineLevel="2" x14ac:dyDescent="0.15">
      <c r="E33">
        <v>3</v>
      </c>
      <c r="F33">
        <v>18</v>
      </c>
      <c r="G33">
        <v>3909</v>
      </c>
    </row>
  </sheetData>
  <dataConsolidate topLabels="1">
    <dataRefs count="1">
      <dataRef ref="E5:E9" sheet="Sheet1" r:id="rId1"/>
    </dataRefs>
  </dataConsolidate>
  <phoneticPr fontId="1" type="noConversion"/>
  <dataValidations count="2">
    <dataValidation type="whole" operator="notEqual" allowBlank="1" showInputMessage="1" showErrorMessage="1" errorTitle="请正确输入" error="正确的值是" promptTitle="请输入自己的年龄" prompt="66" sqref="H6">
      <formula1>12</formula1>
    </dataValidation>
    <dataValidation type="whole" allowBlank="1" showInputMessage="1" showErrorMessage="1" sqref="A1:E9 E33:G33 E30:G31 E26:G28">
      <formula1>1</formula1>
      <formula2>35</formula2>
    </dataValidation>
  </dataValidations>
  <pageMargins left="0.7" right="0.7" top="0.75" bottom="0.75" header="0.3" footer="0.3"/>
  <pageSetup paperSize="9" orientation="portrait" horizontalDpi="300" verticalDpi="0" copies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绘图</vt:lpstr>
      <vt:lpstr>Sheet2</vt:lpstr>
      <vt:lpstr>数据透视表</vt:lpstr>
      <vt:lpstr>交叉表</vt:lpstr>
      <vt:lpstr>分列</vt:lpstr>
      <vt:lpstr>分组</vt:lpstr>
      <vt:lpstr>分类汇总</vt:lpstr>
      <vt:lpstr>查找</vt:lpstr>
      <vt:lpstr>if</vt:lpstr>
      <vt:lpstr>累积和、均值</vt:lpstr>
      <vt:lpstr>分组汇总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yjm</dc:creator>
  <cp:lastModifiedBy>xl</cp:lastModifiedBy>
  <dcterms:created xsi:type="dcterms:W3CDTF">2015-12-08T01:49:56Z</dcterms:created>
  <dcterms:modified xsi:type="dcterms:W3CDTF">2018-02-07T08:29:59Z</dcterms:modified>
</cp:coreProperties>
</file>